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Útmutató" sheetId="1" state="visible" r:id="rId3"/>
    <sheet name="Szerepkörök" sheetId="2" state="visible" r:id="rId4"/>
    <sheet name="Példa" sheetId="3" state="visible" r:id="rId5"/>
    <sheet name="Sabl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<sst xmlns="http://schemas.openxmlformats.org/spreadsheetml/2006/main" count="155" uniqueCount="96">
  <si>
    <t xml:space="preserve">Működési mátrix kisvállalkozásnak</t>
  </si>
  <si>
    <t xml:space="preserve">NK Studio · ki csinálja, ki dönt, kit kell megkérdezni · nkstudio.hu</t>
  </si>
  <si>
    <t xml:space="preserve">Mire való?</t>
  </si>
  <si>
    <t xml:space="preserve">Minden fontos feladatnál megmutatja, ki végzi, ki dönt, kit kell megkérdezni és kinek kell szólni.</t>
  </si>
  <si>
    <t xml:space="preserve">V · Végrehajtó</t>
  </si>
  <si>
    <t xml:space="preserve">Ő csinálja meg a feladatot. Lehet több ember is. (Angolul: R)</t>
  </si>
  <si>
    <t xml:space="preserve">J · Jóváhagyó</t>
  </si>
  <si>
    <t xml:space="preserve">Ő dönt, rajta kérik számon. Soronként PONTOSAN EGY. (Angolul: A)</t>
  </si>
  <si>
    <t xml:space="preserve">K · Közreműködő</t>
  </si>
  <si>
    <t xml:space="preserve">Előtte meg kell kérdezni. Csak ott, ahol a véleménye tényleg számít. (Angolul: C)</t>
  </si>
  <si>
    <t xml:space="preserve">T · Tájékoztatandó</t>
  </si>
  <si>
    <t xml:space="preserve">Utólag szólni kell neki. Elég egy üzenet. (Angolul: I)</t>
  </si>
  <si>
    <t xml:space="preserve">Kombináció</t>
  </si>
  <si>
    <t xml:space="preserve">Ha ugyanaz az ember végzi és jóváhagyja is, válaszd: V/J</t>
  </si>
  <si>
    <t xml:space="preserve">1. lépés</t>
  </si>
  <si>
    <t xml:space="preserve">A Szerepkörök lapon írd le, melyik szerepnek mi a dolga és miről dönthet.</t>
  </si>
  <si>
    <t xml:space="preserve">2. lépés</t>
  </si>
  <si>
    <t xml:space="preserve">A Sablon lapon írd a szerepköröket a fejlécbe (D-I oszlop). Szerepet írj, ne nevet.</t>
  </si>
  <si>
    <t xml:space="preserve">3. lépés</t>
  </si>
  <si>
    <t xml:space="preserve">A B oszlopba írd a feladatokat igével kezdve, folyamatonként 5-10 sort.</t>
  </si>
  <si>
    <t xml:space="preserve">4. lépés</t>
  </si>
  <si>
    <t xml:space="preserve">A cellákban válaszd ki a betűt a legördülő listából. A K oszlop pirosan jelez, ha egy sorban nem pontosan egy J van.</t>
  </si>
  <si>
    <t xml:space="preserve">5. lépés</t>
  </si>
  <si>
    <t xml:space="preserve">Alul látod, ki hány sorban hagy jóvá. Ha a vezetőnél szinte minden J, ott érdemes delegálni.</t>
  </si>
  <si>
    <t xml:space="preserve">Döntési szabály</t>
  </si>
  <si>
    <t xml:space="preserve">Írd le a Szerepkörök lap alján, mi történik, ha nem egyértelmű, ki dönt.</t>
  </si>
  <si>
    <t xml:space="preserve">Szabály AI-hoz</t>
  </si>
  <si>
    <t xml:space="preserve">Ha egy feladatot AI vagy automatizálás végez, az lehet V, de J mindig egy ember.</t>
  </si>
  <si>
    <t xml:space="preserve">Színek</t>
  </si>
  <si>
    <t xml:space="preserve">Kék betű: ide írsz. Fekete betű: a lap számolja. Szürke sor: kitöltött példa.</t>
  </si>
  <si>
    <t xml:space="preserve">A minta tájékoztató jellegű. A példák egy 8 fős szolgáltató cég tipikus folyamatait mutatják, a PDF-sablonnal egyezően.</t>
  </si>
  <si>
    <t xml:space="preserve">Szerepkörök és felelősségek</t>
  </si>
  <si>
    <t xml:space="preserve">Szürke sorok: példa. Alatta a saját szerepköreid.</t>
  </si>
  <si>
    <t xml:space="preserve">Szerepkör</t>
  </si>
  <si>
    <t xml:space="preserve">Elsődleges felelősség</t>
  </si>
  <si>
    <t xml:space="preserve">Döntési, jóváhagyási szerep</t>
  </si>
  <si>
    <t xml:space="preserve">Ügyvezető</t>
  </si>
  <si>
    <t xml:space="preserve">Ügyfélmegállapodás, árazás, pénzügyi és stratégiai döntések, vezetői kontroll.</t>
  </si>
  <si>
    <t xml:space="preserve">Jóváhagyja a keretösszeg feletti ajánlatokat, a szerződéseket és a havi zárást.</t>
  </si>
  <si>
    <t xml:space="preserve">Irodavezető</t>
  </si>
  <si>
    <t xml:space="preserve">Nyilvántartás, CRM-rögzítés, számlázás, határidők és befizetések követése.</t>
  </si>
  <si>
    <t xml:space="preserve">Üzleti döntést nem hoz. Eltérést jelez, és a döntést a felelőshöz rendeli.</t>
  </si>
  <si>
    <t xml:space="preserve">Értékesítő</t>
  </si>
  <si>
    <t xml:space="preserve">Ajánlatkészítés, utánkövetés, kapcsolattartás az ügyféllel a szerződésig.</t>
  </si>
  <si>
    <t xml:space="preserve">Jóváhagyja a keretösszeg alatti ajánlatokat.</t>
  </si>
  <si>
    <t xml:space="preserve">Szakmai vezető</t>
  </si>
  <si>
    <t xml:space="preserve">Ütemezés, teljesítés, minőség, új kollégák betanítása.</t>
  </si>
  <si>
    <t xml:space="preserve">Jóváhagyja a szakmai tartalmat és a teljesítést.</t>
  </si>
  <si>
    <t xml:space="preserve">Könyvelő (külsős)</t>
  </si>
  <si>
    <t xml:space="preserve">Könyvelés, bevallások, a havi zárás szakmai ellenőrzése.</t>
  </si>
  <si>
    <t xml:space="preserve">Közreműködik, döntést nem hoz.</t>
  </si>
  <si>
    <t xml:space="preserve">Saját szerepkörök</t>
  </si>
  <si>
    <t xml:space="preserve">Példa</t>
  </si>
  <si>
    <t xml:space="preserve">Ha nem egyértelmű, ki dönt: az irodavezető a feladatot „Döntésre vár” állapotba teszi, és az ügyvezetőhöz rendeli. Az ügyvezető 2 munkanapon belül dönt vagy kijelöli a felelőst, és a döntés bekerül a mátrixba.</t>
  </si>
  <si>
    <t xml:space="preserve">Saját szabály</t>
  </si>
  <si>
    <t xml:space="preserve">Példa: 8 fős szolgáltató cég</t>
  </si>
  <si>
    <t xml:space="preserve">Értékesítés, megvalósítás, pénzügy és működés. Szürke sorok: kitöltött példa.</t>
  </si>
  <si>
    <t xml:space="preserve">Feladat</t>
  </si>
  <si>
    <t xml:space="preserve">Folyamat</t>
  </si>
  <si>
    <t xml:space="preserve">Könyvelő</t>
  </si>
  <si>
    <t xml:space="preserve">[Szerepkör]</t>
  </si>
  <si>
    <t xml:space="preserve">Jóváhagyók (J)</t>
  </si>
  <si>
    <t xml:space="preserve">Ellenőrzés</t>
  </si>
  <si>
    <t xml:space="preserve">Ajánlatkérés rögzítése a CRM-ben</t>
  </si>
  <si>
    <t xml:space="preserve">Értékesítés</t>
  </si>
  <si>
    <t xml:space="preserve">V</t>
  </si>
  <si>
    <t xml:space="preserve">J</t>
  </si>
  <si>
    <t xml:space="preserve">Ajánlat elkészítése</t>
  </si>
  <si>
    <t xml:space="preserve">K</t>
  </si>
  <si>
    <t xml:space="preserve">V/J</t>
  </si>
  <si>
    <t xml:space="preserve">Ajánlat jóváhagyása 500 ezer Ft felett</t>
  </si>
  <si>
    <t xml:space="preserve">Utánkövetés 3 munkanapon belül</t>
  </si>
  <si>
    <t xml:space="preserve">T</t>
  </si>
  <si>
    <t xml:space="preserve">Szerződés elkészítése és aláíratása</t>
  </si>
  <si>
    <t xml:space="preserve">Ügyfél átadása a szakmai csapatnak</t>
  </si>
  <si>
    <t xml:space="preserve">Megvalósítás</t>
  </si>
  <si>
    <t xml:space="preserve">Projekt ütemezése, kapacitás kiosztása</t>
  </si>
  <si>
    <t xml:space="preserve">Teljesítés igazolása az ügyféllel</t>
  </si>
  <si>
    <t xml:space="preserve">Számla kiállítása</t>
  </si>
  <si>
    <t xml:space="preserve">Pénzügy</t>
  </si>
  <si>
    <t xml:space="preserve">Befizetések ellenőrzése hetente</t>
  </si>
  <si>
    <t xml:space="preserve">Késedelmes fizetés jelzése az ügyfélnek</t>
  </si>
  <si>
    <t xml:space="preserve">Havi zárás, átadás a könyvelőnek</t>
  </si>
  <si>
    <t xml:space="preserve">Havi vezetői riport</t>
  </si>
  <si>
    <t xml:space="preserve">Működés</t>
  </si>
  <si>
    <t xml:space="preserve">Új kolléga betanítása</t>
  </si>
  <si>
    <t xml:space="preserve">Hány sorban hagy jóvá (J)?</t>
  </si>
  <si>
    <t xml:space="preserve">Hány sorban végrehajtó (V)?</t>
  </si>
  <si>
    <t xml:space="preserve">Kék betű: ide írsz. A J-K oszlop és az összesítő sorok képletek, ne írd felül.</t>
  </si>
  <si>
    <t xml:space="preserve">Működési mátrix: saját sablon</t>
  </si>
  <si>
    <t xml:space="preserve">Írd át a fejlécben a szerepköröket, a sorokba a feladatokat. Soronként pontosan egy J legyen.</t>
  </si>
  <si>
    <t xml:space="preserve">[Szerepkör 2]</t>
  </si>
  <si>
    <t xml:space="preserve">[Szerepkör 3]</t>
  </si>
  <si>
    <t xml:space="preserve">[Szerepkör 4]</t>
  </si>
  <si>
    <t xml:space="preserve">[Szerepkör 5]</t>
  </si>
  <si>
    <t xml:space="preserve">[Szerepkör 6]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</si>
</sst>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271F"/>
      <name val="Arial"/>
      <family val="0"/>
      <charset val="1"/>
    </font>
    <font>
      <b val="true"/>
      <sz val="10"/>
      <color rgb="FFC9A24A"/>
      <name val="Arial"/>
      <family val="0"/>
      <charset val="1"/>
    </font>
    <font>
      <b val="true"/>
      <sz val="11"/>
      <color rgb="FF17271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6"/>
      <color rgb="FF17271F"/>
      <name val="Arial"/>
      <family val="0"/>
      <charset val="1"/>
    </font>
    <font>
      <sz val="10"/>
      <color rgb="FF4B556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2F5D46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8A6A2C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D9BC7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271F"/>
        <bgColor rgb="FF333300"/>
      </patternFill>
    </fill>
    <fill>
      <patternFill patternType="solid">
        <fgColor rgb="FFF3F6F4"/>
        <bgColor rgb="FFFAF6EC"/>
      </patternFill>
    </fill>
    <fill>
      <patternFill patternType="solid">
        <fgColor rgb="FFFAF6EC"/>
        <bgColor rgb="FFFBF4E6"/>
      </patternFill>
    </fill>
    <fill>
      <patternFill patternType="solid">
        <fgColor rgb="FFE6EFE9"/>
        <bgColor rgb="FFF3F6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5DF"/>
      </left>
      <right style="thin">
        <color rgb="FFDCE5DF"/>
      </right>
      <top style="thin">
        <color rgb="FFDCE5DF"/>
      </top>
      <bottom style="thin">
        <color rgb="FFDCE5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8A2E12"/>
      </font>
      <fill>
        <patternFill>
          <bgColor rgb="FFFBE9E1"/>
        </patternFill>
      </fill>
    </dxf>
    <dxf>
      <font>
        <b val="1"/>
        <color rgb="FF2F5D46"/>
      </font>
    </dxf>
    <dxf>
      <font>
        <b val="1"/>
        <color rgb="FF8A6A2C"/>
      </font>
      <fill>
        <patternFill>
          <bgColor rgb="FFFBF4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A2C"/>
      <rgbColor rgb="FF800080"/>
      <rgbColor rgb="FF008080"/>
      <rgbColor rgb="FFC0C0C0"/>
      <rgbColor rgb="FF808080"/>
      <rgbColor rgb="FF9999FF"/>
      <rgbColor rgb="FF993366"/>
      <rgbColor rgb="FFFBF4E6"/>
      <rgbColor rgb="FFE6EFE9"/>
      <rgbColor rgb="FF660066"/>
      <rgbColor rgb="FFFF8080"/>
      <rgbColor rgb="FF0066CC"/>
      <rgbColor rgb="FFFBE9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4"/>
      <rgbColor rgb="FFDCE5DF"/>
      <rgbColor rgb="FFFAF6EC"/>
      <rgbColor rgb="FF99CCFF"/>
      <rgbColor rgb="FFFF99CC"/>
      <rgbColor rgb="FFCC99FF"/>
      <rgbColor rgb="FFD9BC7E"/>
      <rgbColor rgb="FF3366FF"/>
      <rgbColor rgb="FF33CCCC"/>
      <rgbColor rgb="FF99CC00"/>
      <rgbColor rgb="FFFFCC00"/>
      <rgbColor rgb="FFFF9900"/>
      <rgbColor rgb="FFFF6600"/>
      <rgbColor rgb="FF6B7280"/>
      <rgbColor rgb="FFC9A24A"/>
      <rgbColor rgb="FF003366"/>
      <rgbColor rgb="FF339966"/>
      <rgbColor rgb="FF17271F"/>
      <rgbColor rgb="FF333300"/>
      <rgbColor rgb="FF8A2E12"/>
      <rgbColor rgb="FF993366"/>
      <rgbColor rgb="FF4B5563"/>
      <rgbColor rgb="FF2F5D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3</xdr:col>
      <xdr:colOff>609120</xdr:colOff>
      <xdr:row>2</xdr:row>
      <xdr:rowOff>256680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6766560" y="190440"/>
          <a:ext cx="609120" cy="580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0</xdr:row>
      <xdr:rowOff>0</xdr:rowOff>
    </xdr:from>
    <xdr:to>
      <xdr:col>4</xdr:col>
      <xdr:colOff>609120</xdr:colOff>
      <xdr:row>2</xdr:row>
      <xdr:rowOff>85320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9656280" y="0"/>
          <a:ext cx="609120" cy="580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0</xdr:row>
      <xdr:rowOff>0</xdr:rowOff>
    </xdr:from>
    <xdr:to>
      <xdr:col>10</xdr:col>
      <xdr:colOff>609120</xdr:colOff>
      <xdr:row>2</xdr:row>
      <xdr:rowOff>85320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1770920" y="0"/>
          <a:ext cx="609120" cy="580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0</xdr:row>
      <xdr:rowOff>0</xdr:rowOff>
    </xdr:from>
    <xdr:to>
      <xdr:col>10</xdr:col>
      <xdr:colOff>609120</xdr:colOff>
      <xdr:row>2</xdr:row>
      <xdr:rowOff>85320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11770920" y="0"/>
          <a:ext cx="609120" cy="580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4A"/>
    <pageSetUpPr fitToPage="tru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70"/>
  </cols>
  <sheetData>
    <row r="2" customFormat="false" ht="25.5" hidden="false" customHeight="true" outlineLevel="0" collapsed="false">
      <c r="B2" s="1" t="s">
        <v>0</v>
      </c>
    </row>
    <row r="3" customFormat="false" ht="21.75" hidden="false" customHeight="tru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  <c r="C5" s="4" t="s">
        <v>3</v>
      </c>
    </row>
    <row r="6" customFormat="false" ht="30" hidden="false" customHeight="true" outlineLevel="0" collapsed="false">
      <c r="B6" s="3" t="s">
        <v>4</v>
      </c>
      <c r="C6" s="4" t="s">
        <v>5</v>
      </c>
    </row>
    <row r="7" customFormat="false" ht="30" hidden="false" customHeight="true" outlineLevel="0" collapsed="false">
      <c r="B7" s="3" t="s">
        <v>6</v>
      </c>
      <c r="C7" s="4" t="s">
        <v>7</v>
      </c>
    </row>
    <row r="8" customFormat="false" ht="30" hidden="false" customHeight="true" outlineLevel="0" collapsed="false">
      <c r="B8" s="3" t="s">
        <v>8</v>
      </c>
      <c r="C8" s="4" t="s">
        <v>9</v>
      </c>
    </row>
    <row r="9" customFormat="false" ht="30" hidden="false" customHeight="true" outlineLevel="0" collapsed="false">
      <c r="B9" s="3" t="s">
        <v>10</v>
      </c>
      <c r="C9" s="4" t="s">
        <v>11</v>
      </c>
    </row>
    <row r="10" customFormat="false" ht="30" hidden="false" customHeight="true" outlineLevel="0" collapsed="false">
      <c r="B10" s="3" t="s">
        <v>12</v>
      </c>
      <c r="C10" s="4" t="s">
        <v>13</v>
      </c>
    </row>
    <row r="11" customFormat="false" ht="30" hidden="false" customHeight="true" outlineLevel="0" collapsed="false">
      <c r="B11" s="3" t="s">
        <v>14</v>
      </c>
      <c r="C11" s="4" t="s">
        <v>15</v>
      </c>
    </row>
    <row r="12" customFormat="false" ht="30" hidden="false" customHeight="true" outlineLevel="0" collapsed="false">
      <c r="B12" s="3" t="s">
        <v>16</v>
      </c>
      <c r="C12" s="4" t="s">
        <v>17</v>
      </c>
    </row>
    <row r="13" customFormat="false" ht="30" hidden="false" customHeight="true" outlineLevel="0" collapsed="false">
      <c r="B13" s="3" t="s">
        <v>18</v>
      </c>
      <c r="C13" s="4" t="s">
        <v>19</v>
      </c>
    </row>
    <row r="14" customFormat="false" ht="30" hidden="false" customHeight="true" outlineLevel="0" collapsed="false">
      <c r="B14" s="3" t="s">
        <v>20</v>
      </c>
      <c r="C14" s="4" t="s">
        <v>21</v>
      </c>
    </row>
    <row r="15" customFormat="false" ht="30" hidden="false" customHeight="true" outlineLevel="0" collapsed="false">
      <c r="B15" s="3" t="s">
        <v>22</v>
      </c>
      <c r="C15" s="4" t="s">
        <v>23</v>
      </c>
    </row>
    <row r="16" customFormat="false" ht="30" hidden="false" customHeight="true" outlineLevel="0" collapsed="false">
      <c r="B16" s="3" t="s">
        <v>24</v>
      </c>
      <c r="C16" s="4" t="s">
        <v>25</v>
      </c>
    </row>
    <row r="17" customFormat="false" ht="30" hidden="false" customHeight="true" outlineLevel="0" collapsed="false">
      <c r="B17" s="3" t="s">
        <v>26</v>
      </c>
      <c r="C17" s="4" t="s">
        <v>27</v>
      </c>
    </row>
    <row r="18" customFormat="false" ht="30" hidden="false" customHeight="true" outlineLevel="0" collapsed="false">
      <c r="B18" s="3" t="s">
        <v>28</v>
      </c>
      <c r="C18" s="4" t="s">
        <v>29</v>
      </c>
    </row>
    <row r="20" customFormat="false" ht="15" hidden="false" customHeight="false" outlineLevel="0" collapsed="false">
      <c r="B20" s="5" t="s">
        <v>30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D46"/>
    <pageSetUpPr fitToPage="true"/>
  </sheetPr>
  <dimension ref="B2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58"/>
    <col collapsed="false" customWidth="true" hidden="false" outlineLevel="0" max="4" min="4" style="0" width="52"/>
  </cols>
  <sheetData>
    <row r="2" customFormat="false" ht="24" hidden="false" customHeight="true" outlineLevel="0" collapsed="false">
      <c r="B2" s="6" t="s">
        <v>31</v>
      </c>
    </row>
    <row r="3" customFormat="false" ht="15" hidden="false" customHeight="false" outlineLevel="0" collapsed="false">
      <c r="B3" s="7" t="s">
        <v>32</v>
      </c>
    </row>
    <row r="5" customFormat="false" ht="25.5" hidden="false" customHeight="true" outlineLevel="0" collapsed="false">
      <c r="B5" s="8" t="s">
        <v>33</v>
      </c>
      <c r="C5" s="8" t="s">
        <v>34</v>
      </c>
      <c r="D5" s="8" t="s">
        <v>35</v>
      </c>
    </row>
    <row r="6" customFormat="false" ht="31.5" hidden="false" customHeight="true" outlineLevel="0" collapsed="false">
      <c r="B6" s="9" t="s">
        <v>36</v>
      </c>
      <c r="C6" s="10" t="s">
        <v>37</v>
      </c>
      <c r="D6" s="10" t="s">
        <v>38</v>
      </c>
    </row>
    <row r="7" customFormat="false" ht="31.5" hidden="false" customHeight="true" outlineLevel="0" collapsed="false">
      <c r="B7" s="9" t="s">
        <v>39</v>
      </c>
      <c r="C7" s="10" t="s">
        <v>40</v>
      </c>
      <c r="D7" s="10" t="s">
        <v>41</v>
      </c>
    </row>
    <row r="8" customFormat="false" ht="31.5" hidden="false" customHeight="true" outlineLevel="0" collapsed="false">
      <c r="B8" s="9" t="s">
        <v>42</v>
      </c>
      <c r="C8" s="10" t="s">
        <v>43</v>
      </c>
      <c r="D8" s="10" t="s">
        <v>44</v>
      </c>
    </row>
    <row r="9" customFormat="false" ht="31.5" hidden="false" customHeight="true" outlineLevel="0" collapsed="false">
      <c r="B9" s="9" t="s">
        <v>45</v>
      </c>
      <c r="C9" s="10" t="s">
        <v>46</v>
      </c>
      <c r="D9" s="10" t="s">
        <v>47</v>
      </c>
    </row>
    <row r="10" customFormat="false" ht="31.5" hidden="false" customHeight="true" outlineLevel="0" collapsed="false">
      <c r="B10" s="9" t="s">
        <v>48</v>
      </c>
      <c r="C10" s="10" t="s">
        <v>49</v>
      </c>
      <c r="D10" s="10" t="s">
        <v>50</v>
      </c>
    </row>
    <row r="12" customFormat="false" ht="15" hidden="false" customHeight="false" outlineLevel="0" collapsed="false">
      <c r="B12" s="11" t="s">
        <v>51</v>
      </c>
    </row>
    <row r="13" customFormat="false" ht="31.5" hidden="false" customHeight="true" outlineLevel="0" collapsed="false">
      <c r="B13" s="12"/>
      <c r="C13" s="12"/>
      <c r="D13" s="12"/>
    </row>
    <row r="14" customFormat="false" ht="31.5" hidden="false" customHeight="true" outlineLevel="0" collapsed="false">
      <c r="B14" s="12"/>
      <c r="C14" s="12"/>
      <c r="D14" s="12"/>
    </row>
    <row r="15" customFormat="false" ht="31.5" hidden="false" customHeight="true" outlineLevel="0" collapsed="false">
      <c r="B15" s="12"/>
      <c r="C15" s="12"/>
      <c r="D15" s="12"/>
    </row>
    <row r="16" customFormat="false" ht="31.5" hidden="false" customHeight="true" outlineLevel="0" collapsed="false">
      <c r="B16" s="12"/>
      <c r="C16" s="12"/>
      <c r="D16" s="12"/>
    </row>
    <row r="17" customFormat="false" ht="31.5" hidden="false" customHeight="true" outlineLevel="0" collapsed="false">
      <c r="B17" s="12"/>
      <c r="C17" s="12"/>
      <c r="D17" s="12"/>
    </row>
    <row r="18" customFormat="false" ht="31.5" hidden="false" customHeight="true" outlineLevel="0" collapsed="false">
      <c r="B18" s="12"/>
      <c r="C18" s="12"/>
      <c r="D18" s="12"/>
    </row>
    <row r="20" customFormat="false" ht="15" hidden="false" customHeight="false" outlineLevel="0" collapsed="false">
      <c r="B20" s="13" t="s">
        <v>24</v>
      </c>
    </row>
    <row r="21" customFormat="false" ht="45.75" hidden="false" customHeight="true" outlineLevel="0" collapsed="false">
      <c r="B21" s="3" t="s">
        <v>52</v>
      </c>
      <c r="C21" s="14" t="s">
        <v>53</v>
      </c>
      <c r="D21" s="14"/>
    </row>
    <row r="22" customFormat="false" ht="45.75" hidden="false" customHeight="true" outlineLevel="0" collapsed="false">
      <c r="B22" s="3" t="s">
        <v>54</v>
      </c>
      <c r="C22" s="12"/>
      <c r="D22" s="12"/>
    </row>
  </sheetData>
  <mergeCells count="2">
    <mergeCell ref="C21:D21"/>
    <mergeCell ref="C22:D2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D46"/>
    <pageSetUpPr fitToPage="true"/>
  </sheetPr>
  <dimension ref="B2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10" min="4" style="0" width="14"/>
    <col collapsed="false" customWidth="true" hidden="false" outlineLevel="0" max="11" min="11" style="0" width="18"/>
  </cols>
  <sheetData>
    <row r="2" customFormat="false" ht="24" hidden="false" customHeight="true" outlineLevel="0" collapsed="false">
      <c r="B2" s="6" t="s">
        <v>55</v>
      </c>
    </row>
    <row r="3" customFormat="false" ht="19.5" hidden="false" customHeight="true" outlineLevel="0" collapsed="false">
      <c r="B3" s="7" t="s">
        <v>56</v>
      </c>
    </row>
    <row r="5" customFormat="false" ht="33.75" hidden="false" customHeight="true" outlineLevel="0" collapsed="false">
      <c r="B5" s="15" t="s">
        <v>57</v>
      </c>
      <c r="C5" s="15" t="s">
        <v>58</v>
      </c>
      <c r="D5" s="16" t="s">
        <v>36</v>
      </c>
      <c r="E5" s="16" t="s">
        <v>39</v>
      </c>
      <c r="F5" s="16" t="s">
        <v>42</v>
      </c>
      <c r="G5" s="16" t="s">
        <v>45</v>
      </c>
      <c r="H5" s="16" t="s">
        <v>59</v>
      </c>
      <c r="I5" s="16" t="s">
        <v>60</v>
      </c>
      <c r="J5" s="16" t="s">
        <v>61</v>
      </c>
      <c r="K5" s="16" t="s">
        <v>62</v>
      </c>
    </row>
    <row r="6" customFormat="false" ht="15" hidden="false" customHeight="false" outlineLevel="0" collapsed="false">
      <c r="B6" s="17" t="s">
        <v>63</v>
      </c>
      <c r="C6" s="17" t="s">
        <v>64</v>
      </c>
      <c r="D6" s="18"/>
      <c r="E6" s="18" t="s">
        <v>65</v>
      </c>
      <c r="F6" s="18" t="s">
        <v>66</v>
      </c>
      <c r="G6" s="18"/>
      <c r="H6" s="18"/>
      <c r="I6" s="18"/>
      <c r="J6" s="19" t="n">
        <f aca="false">IF(B6="","",COUNTIF(D6:I6,"*J*"))</f>
        <v>1</v>
      </c>
      <c r="K6" s="20" t="str">
        <f aca="false">IF(B6="","",IF(J6=1,"Rendben",IF(J6=0,"Nincs jóváhagyó!","Több jóváhagyó!")))</f>
        <v>Rendben</v>
      </c>
    </row>
    <row r="7" customFormat="false" ht="15" hidden="false" customHeight="false" outlineLevel="0" collapsed="false">
      <c r="B7" s="17" t="s">
        <v>67</v>
      </c>
      <c r="C7" s="17" t="s">
        <v>64</v>
      </c>
      <c r="D7" s="18" t="s">
        <v>68</v>
      </c>
      <c r="E7" s="18"/>
      <c r="F7" s="18" t="s">
        <v>69</v>
      </c>
      <c r="G7" s="18" t="s">
        <v>68</v>
      </c>
      <c r="H7" s="18"/>
      <c r="I7" s="18"/>
      <c r="J7" s="19" t="n">
        <f aca="false">IF(B7="","",COUNTIF(D7:I7,"*J*"))</f>
        <v>1</v>
      </c>
      <c r="K7" s="20" t="str">
        <f aca="false">IF(B7="","",IF(J7=1,"Rendben",IF(J7=0,"Nincs jóváhagyó!","Több jóváhagyó!")))</f>
        <v>Rendben</v>
      </c>
    </row>
    <row r="8" customFormat="false" ht="15" hidden="false" customHeight="false" outlineLevel="0" collapsed="false">
      <c r="B8" s="17" t="s">
        <v>70</v>
      </c>
      <c r="C8" s="17" t="s">
        <v>64</v>
      </c>
      <c r="D8" s="18" t="s">
        <v>66</v>
      </c>
      <c r="E8" s="18"/>
      <c r="F8" s="18" t="s">
        <v>65</v>
      </c>
      <c r="G8" s="18"/>
      <c r="H8" s="18"/>
      <c r="I8" s="18"/>
      <c r="J8" s="19" t="n">
        <f aca="false">IF(B8="","",COUNTIF(D8:I8,"*J*"))</f>
        <v>1</v>
      </c>
      <c r="K8" s="20" t="str">
        <f aca="false">IF(B8="","",IF(J8=1,"Rendben",IF(J8=0,"Nincs jóváhagyó!","Több jóváhagyó!")))</f>
        <v>Rendben</v>
      </c>
    </row>
    <row r="9" customFormat="false" ht="15" hidden="false" customHeight="false" outlineLevel="0" collapsed="false">
      <c r="B9" s="17" t="s">
        <v>71</v>
      </c>
      <c r="C9" s="17" t="s">
        <v>64</v>
      </c>
      <c r="D9" s="18"/>
      <c r="E9" s="18" t="s">
        <v>72</v>
      </c>
      <c r="F9" s="18" t="s">
        <v>69</v>
      </c>
      <c r="G9" s="18"/>
      <c r="H9" s="18"/>
      <c r="I9" s="18"/>
      <c r="J9" s="19" t="n">
        <f aca="false">IF(B9="","",COUNTIF(D9:I9,"*J*"))</f>
        <v>1</v>
      </c>
      <c r="K9" s="20" t="str">
        <f aca="false">IF(B9="","",IF(J9=1,"Rendben",IF(J9=0,"Nincs jóváhagyó!","Több jóváhagyó!")))</f>
        <v>Rendben</v>
      </c>
    </row>
    <row r="10" customFormat="false" ht="15" hidden="false" customHeight="false" outlineLevel="0" collapsed="false">
      <c r="B10" s="17" t="s">
        <v>73</v>
      </c>
      <c r="C10" s="17" t="s">
        <v>64</v>
      </c>
      <c r="D10" s="18" t="s">
        <v>66</v>
      </c>
      <c r="E10" s="18" t="s">
        <v>65</v>
      </c>
      <c r="F10" s="18" t="s">
        <v>68</v>
      </c>
      <c r="G10" s="18"/>
      <c r="H10" s="18"/>
      <c r="I10" s="18"/>
      <c r="J10" s="19" t="n">
        <f aca="false">IF(B10="","",COUNTIF(D10:I10,"*J*"))</f>
        <v>1</v>
      </c>
      <c r="K10" s="20" t="str">
        <f aca="false">IF(B10="","",IF(J10=1,"Rendben",IF(J10=0,"Nincs jóváhagyó!","Több jóváhagyó!")))</f>
        <v>Rendben</v>
      </c>
    </row>
    <row r="11" customFormat="false" ht="15" hidden="false" customHeight="false" outlineLevel="0" collapsed="false">
      <c r="B11" s="17" t="s">
        <v>74</v>
      </c>
      <c r="C11" s="17" t="s">
        <v>75</v>
      </c>
      <c r="D11" s="18"/>
      <c r="E11" s="18" t="s">
        <v>68</v>
      </c>
      <c r="F11" s="18" t="s">
        <v>65</v>
      </c>
      <c r="G11" s="18" t="s">
        <v>66</v>
      </c>
      <c r="H11" s="18"/>
      <c r="I11" s="18"/>
      <c r="J11" s="19" t="n">
        <f aca="false">IF(B11="","",COUNTIF(D11:I11,"*J*"))</f>
        <v>1</v>
      </c>
      <c r="K11" s="20" t="str">
        <f aca="false">IF(B11="","",IF(J11=1,"Rendben",IF(J11=0,"Nincs jóváhagyó!","Több jóváhagyó!")))</f>
        <v>Rendben</v>
      </c>
    </row>
    <row r="12" customFormat="false" ht="15" hidden="false" customHeight="false" outlineLevel="0" collapsed="false">
      <c r="B12" s="17" t="s">
        <v>76</v>
      </c>
      <c r="C12" s="17" t="s">
        <v>75</v>
      </c>
      <c r="D12" s="18" t="s">
        <v>72</v>
      </c>
      <c r="E12" s="18" t="s">
        <v>68</v>
      </c>
      <c r="F12" s="18" t="s">
        <v>72</v>
      </c>
      <c r="G12" s="18" t="s">
        <v>69</v>
      </c>
      <c r="H12" s="18"/>
      <c r="I12" s="18"/>
      <c r="J12" s="19" t="n">
        <f aca="false">IF(B12="","",COUNTIF(D12:I12,"*J*"))</f>
        <v>1</v>
      </c>
      <c r="K12" s="20" t="str">
        <f aca="false">IF(B12="","",IF(J12=1,"Rendben",IF(J12=0,"Nincs jóváhagyó!","Több jóváhagyó!")))</f>
        <v>Rendben</v>
      </c>
    </row>
    <row r="13" customFormat="false" ht="15" hidden="false" customHeight="false" outlineLevel="0" collapsed="false">
      <c r="B13" s="17" t="s">
        <v>77</v>
      </c>
      <c r="C13" s="17" t="s">
        <v>75</v>
      </c>
      <c r="D13" s="18" t="s">
        <v>72</v>
      </c>
      <c r="E13" s="18"/>
      <c r="F13" s="18" t="s">
        <v>68</v>
      </c>
      <c r="G13" s="18" t="s">
        <v>69</v>
      </c>
      <c r="H13" s="18"/>
      <c r="I13" s="18"/>
      <c r="J13" s="19" t="n">
        <f aca="false">IF(B13="","",COUNTIF(D13:I13,"*J*"))</f>
        <v>1</v>
      </c>
      <c r="K13" s="20" t="str">
        <f aca="false">IF(B13="","",IF(J13=1,"Rendben",IF(J13=0,"Nincs jóváhagyó!","Több jóváhagyó!")))</f>
        <v>Rendben</v>
      </c>
    </row>
    <row r="14" customFormat="false" ht="15" hidden="false" customHeight="false" outlineLevel="0" collapsed="false">
      <c r="B14" s="17" t="s">
        <v>78</v>
      </c>
      <c r="C14" s="17" t="s">
        <v>79</v>
      </c>
      <c r="D14" s="18" t="s">
        <v>72</v>
      </c>
      <c r="E14" s="18" t="s">
        <v>69</v>
      </c>
      <c r="F14" s="18"/>
      <c r="G14" s="18" t="s">
        <v>68</v>
      </c>
      <c r="H14" s="18"/>
      <c r="I14" s="18"/>
      <c r="J14" s="19" t="n">
        <f aca="false">IF(B14="","",COUNTIF(D14:I14,"*J*"))</f>
        <v>1</v>
      </c>
      <c r="K14" s="20" t="str">
        <f aca="false">IF(B14="","",IF(J14=1,"Rendben",IF(J14=0,"Nincs jóváhagyó!","Több jóváhagyó!")))</f>
        <v>Rendben</v>
      </c>
    </row>
    <row r="15" customFormat="false" ht="15" hidden="false" customHeight="false" outlineLevel="0" collapsed="false">
      <c r="B15" s="17" t="s">
        <v>80</v>
      </c>
      <c r="C15" s="17" t="s">
        <v>79</v>
      </c>
      <c r="D15" s="18" t="s">
        <v>72</v>
      </c>
      <c r="E15" s="18" t="s">
        <v>69</v>
      </c>
      <c r="F15" s="18"/>
      <c r="G15" s="18"/>
      <c r="H15" s="18" t="s">
        <v>68</v>
      </c>
      <c r="I15" s="18"/>
      <c r="J15" s="19" t="n">
        <f aca="false">IF(B15="","",COUNTIF(D15:I15,"*J*"))</f>
        <v>1</v>
      </c>
      <c r="K15" s="20" t="str">
        <f aca="false">IF(B15="","",IF(J15=1,"Rendben",IF(J15=0,"Nincs jóváhagyó!","Több jóváhagyó!")))</f>
        <v>Rendben</v>
      </c>
    </row>
    <row r="16" customFormat="false" ht="15" hidden="false" customHeight="false" outlineLevel="0" collapsed="false">
      <c r="B16" s="17" t="s">
        <v>81</v>
      </c>
      <c r="C16" s="17" t="s">
        <v>79</v>
      </c>
      <c r="D16" s="18" t="s">
        <v>72</v>
      </c>
      <c r="E16" s="18" t="s">
        <v>65</v>
      </c>
      <c r="F16" s="18" t="s">
        <v>66</v>
      </c>
      <c r="G16" s="18"/>
      <c r="H16" s="18"/>
      <c r="I16" s="18"/>
      <c r="J16" s="19" t="n">
        <f aca="false">IF(B16="","",COUNTIF(D16:I16,"*J*"))</f>
        <v>1</v>
      </c>
      <c r="K16" s="20" t="str">
        <f aca="false">IF(B16="","",IF(J16=1,"Rendben",IF(J16=0,"Nincs jóváhagyó!","Több jóváhagyó!")))</f>
        <v>Rendben</v>
      </c>
    </row>
    <row r="17" customFormat="false" ht="15" hidden="false" customHeight="false" outlineLevel="0" collapsed="false">
      <c r="B17" s="17" t="s">
        <v>82</v>
      </c>
      <c r="C17" s="17" t="s">
        <v>79</v>
      </c>
      <c r="D17" s="18" t="s">
        <v>66</v>
      </c>
      <c r="E17" s="18" t="s">
        <v>65</v>
      </c>
      <c r="F17" s="18"/>
      <c r="G17" s="18"/>
      <c r="H17" s="18" t="s">
        <v>68</v>
      </c>
      <c r="I17" s="18"/>
      <c r="J17" s="19" t="n">
        <f aca="false">IF(B17="","",COUNTIF(D17:I17,"*J*"))</f>
        <v>1</v>
      </c>
      <c r="K17" s="20" t="str">
        <f aca="false">IF(B17="","",IF(J17=1,"Rendben",IF(J17=0,"Nincs jóváhagyó!","Több jóváhagyó!")))</f>
        <v>Rendben</v>
      </c>
    </row>
    <row r="18" customFormat="false" ht="15" hidden="false" customHeight="false" outlineLevel="0" collapsed="false">
      <c r="B18" s="17" t="s">
        <v>83</v>
      </c>
      <c r="C18" s="17" t="s">
        <v>84</v>
      </c>
      <c r="D18" s="18" t="s">
        <v>66</v>
      </c>
      <c r="E18" s="18" t="s">
        <v>65</v>
      </c>
      <c r="F18" s="18" t="s">
        <v>68</v>
      </c>
      <c r="G18" s="18" t="s">
        <v>68</v>
      </c>
      <c r="H18" s="18"/>
      <c r="I18" s="18"/>
      <c r="J18" s="19" t="n">
        <f aca="false">IF(B18="","",COUNTIF(D18:I18,"*J*"))</f>
        <v>1</v>
      </c>
      <c r="K18" s="20" t="str">
        <f aca="false">IF(B18="","",IF(J18=1,"Rendben",IF(J18=0,"Nincs jóváhagyó!","Több jóváhagyó!")))</f>
        <v>Rendben</v>
      </c>
    </row>
    <row r="19" customFormat="false" ht="15" hidden="false" customHeight="false" outlineLevel="0" collapsed="false">
      <c r="B19" s="17" t="s">
        <v>85</v>
      </c>
      <c r="C19" s="17" t="s">
        <v>84</v>
      </c>
      <c r="D19" s="18" t="s">
        <v>66</v>
      </c>
      <c r="E19" s="18" t="s">
        <v>68</v>
      </c>
      <c r="F19" s="18"/>
      <c r="G19" s="18" t="s">
        <v>65</v>
      </c>
      <c r="H19" s="18"/>
      <c r="I19" s="18"/>
      <c r="J19" s="19" t="n">
        <f aca="false">IF(B19="","",COUNTIF(D19:I19,"*J*"))</f>
        <v>1</v>
      </c>
      <c r="K19" s="20" t="str">
        <f aca="false">IF(B19="","",IF(J19=1,"Rendben",IF(J19=0,"Nincs jóváhagyó!","Több jóváhagyó!")))</f>
        <v>Rendben</v>
      </c>
    </row>
    <row r="21" customFormat="false" ht="15" hidden="false" customHeight="false" outlineLevel="0" collapsed="false">
      <c r="B21" s="21" t="s">
        <v>86</v>
      </c>
      <c r="D21" s="22" t="n">
        <f aca="false">COUNTIF(D6:D19,"*J*")</f>
        <v>5</v>
      </c>
      <c r="E21" s="22" t="n">
        <f aca="false">COUNTIF(E6:E19,"*J*")</f>
        <v>2</v>
      </c>
      <c r="F21" s="22" t="n">
        <f aca="false">COUNTIF(F6:F19,"*J*")</f>
        <v>4</v>
      </c>
      <c r="G21" s="22" t="n">
        <f aca="false">COUNTIF(G6:G19,"*J*")</f>
        <v>3</v>
      </c>
      <c r="H21" s="22" t="n">
        <f aca="false">COUNTIF(H6:H19,"*J*")</f>
        <v>0</v>
      </c>
      <c r="I21" s="22" t="n">
        <f aca="false">COUNTIF(I6:I19,"*J*")</f>
        <v>0</v>
      </c>
    </row>
    <row r="22" customFormat="false" ht="15" hidden="false" customHeight="false" outlineLevel="0" collapsed="false">
      <c r="B22" s="21" t="s">
        <v>87</v>
      </c>
      <c r="D22" s="23" t="n">
        <f aca="false">COUNTIF(D6:D19,"*V*")</f>
        <v>0</v>
      </c>
      <c r="E22" s="23" t="n">
        <f aca="false">COUNTIF(E6:E19,"*V*")</f>
        <v>7</v>
      </c>
      <c r="F22" s="23" t="n">
        <f aca="false">COUNTIF(F6:F19,"*V*")</f>
        <v>4</v>
      </c>
      <c r="G22" s="23" t="n">
        <f aca="false">COUNTIF(G6:G19,"*V*")</f>
        <v>3</v>
      </c>
      <c r="H22" s="23" t="n">
        <f aca="false">COUNTIF(H6:H19,"*V*")</f>
        <v>0</v>
      </c>
      <c r="I22" s="23" t="n">
        <f aca="false">COUNTIF(I6:I19,"*V*")</f>
        <v>0</v>
      </c>
    </row>
    <row r="24" customFormat="false" ht="15" hidden="false" customHeight="false" outlineLevel="0" collapsed="false">
      <c r="B24" s="5" t="s">
        <v>88</v>
      </c>
    </row>
  </sheetData>
  <conditionalFormatting sqref="K6:K19">
    <cfRule type="expression" priority="2" aboveAverage="0" equalAverage="0" bottom="0" percent="0" rank="0" text="" dxfId="0">
      <formula>AND($K6&lt;&gt;"",$K6&lt;&gt;"Rendben")</formula>
    </cfRule>
    <cfRule type="expression" priority="3" aboveAverage="0" equalAverage="0" bottom="0" percent="0" rank="0" text="" dxfId="1">
      <formula>$K6="Rendben"</formula>
    </cfRule>
  </conditionalFormatting>
  <conditionalFormatting sqref="D6:I19">
    <cfRule type="expression" priority="4" aboveAverage="0" equalAverage="0" bottom="0" percent="0" rank="0" text="" dxfId="2">
      <formula>ISNUMBER(SEARCH("J",D6))</formula>
    </cfRule>
  </conditionalFormatting>
  <dataValidations count="1">
    <dataValidation allowBlank="true" error="Válassz: V, J, K, T vagy V/J" errorStyle="stop" operator="between" showDropDown="false" showErrorMessage="true" showInputMessage="false" sqref="D6:I19" type="list">
      <formula1>"V,J,K,T,V/J"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D46"/>
    <pageSetUpPr fitToPage="true"/>
  </sheetPr>
  <dimension ref="B2: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10" min="4" style="0" width="14"/>
    <col collapsed="false" customWidth="true" hidden="false" outlineLevel="0" max="11" min="11" style="0" width="18"/>
  </cols>
  <sheetData>
    <row r="2" customFormat="false" ht="24" hidden="false" customHeight="true" outlineLevel="0" collapsed="false">
      <c r="B2" s="6" t="s">
        <v>89</v>
      </c>
    </row>
    <row r="3" customFormat="false" ht="19.5" hidden="false" customHeight="true" outlineLevel="0" collapsed="false">
      <c r="B3" s="7" t="s">
        <v>90</v>
      </c>
    </row>
    <row r="5" customFormat="false" ht="33.75" hidden="false" customHeight="true" outlineLevel="0" collapsed="false">
      <c r="B5" s="15" t="s">
        <v>57</v>
      </c>
      <c r="C5" s="15" t="s">
        <v>58</v>
      </c>
      <c r="D5" s="24" t="s">
        <v>36</v>
      </c>
      <c r="E5" s="24" t="s">
        <v>91</v>
      </c>
      <c r="F5" s="24" t="s">
        <v>92</v>
      </c>
      <c r="G5" s="24" t="s">
        <v>93</v>
      </c>
      <c r="H5" s="24" t="s">
        <v>94</v>
      </c>
      <c r="I5" s="24" t="s">
        <v>95</v>
      </c>
      <c r="J5" s="16" t="s">
        <v>61</v>
      </c>
      <c r="K5" s="16" t="s">
        <v>62</v>
      </c>
    </row>
    <row r="6" customFormat="false" ht="15" hidden="false" customHeight="false" outlineLevel="0" collapsed="false">
      <c r="B6" s="25"/>
      <c r="C6" s="25"/>
      <c r="D6" s="26"/>
      <c r="E6" s="26"/>
      <c r="F6" s="26"/>
      <c r="G6" s="26"/>
      <c r="H6" s="26"/>
      <c r="I6" s="26"/>
      <c r="J6" s="19" t="str">
        <f aca="false">IF(B6="","",COUNTIF(D6:I6,"*J*"))</f>
        <v/>
      </c>
      <c r="K6" s="20" t="str">
        <f aca="false">IF(B6="","",IF(J6=1,"Rendben",IF(J6=0,"Nincs jóváhagyó!","Több jóváhagyó!")))</f>
        <v/>
      </c>
    </row>
    <row r="7" customFormat="false" ht="15" hidden="false" customHeight="false" outlineLevel="0" collapsed="false">
      <c r="B7" s="25"/>
      <c r="C7" s="25"/>
      <c r="D7" s="26"/>
      <c r="E7" s="26"/>
      <c r="F7" s="26"/>
      <c r="G7" s="26"/>
      <c r="H7" s="26"/>
      <c r="I7" s="26"/>
      <c r="J7" s="19" t="str">
        <f aca="false">IF(B7="","",COUNTIF(D7:I7,"*J*"))</f>
        <v/>
      </c>
      <c r="K7" s="20" t="str">
        <f aca="false">IF(B7="","",IF(J7=1,"Rendben",IF(J7=0,"Nincs jóváhagyó!","Több jóváhagyó!")))</f>
        <v/>
      </c>
    </row>
    <row r="8" customFormat="false" ht="15" hidden="false" customHeight="false" outlineLevel="0" collapsed="false">
      <c r="B8" s="25"/>
      <c r="C8" s="25"/>
      <c r="D8" s="26"/>
      <c r="E8" s="26"/>
      <c r="F8" s="26"/>
      <c r="G8" s="26"/>
      <c r="H8" s="26"/>
      <c r="I8" s="26"/>
      <c r="J8" s="19" t="str">
        <f aca="false">IF(B8="","",COUNTIF(D8:I8,"*J*"))</f>
        <v/>
      </c>
      <c r="K8" s="20" t="str">
        <f aca="false">IF(B8="","",IF(J8=1,"Rendben",IF(J8=0,"Nincs jóváhagyó!","Több jóváhagyó!")))</f>
        <v/>
      </c>
    </row>
    <row r="9" customFormat="false" ht="15" hidden="false" customHeight="false" outlineLevel="0" collapsed="false">
      <c r="B9" s="25"/>
      <c r="C9" s="25"/>
      <c r="D9" s="26"/>
      <c r="E9" s="26"/>
      <c r="F9" s="26"/>
      <c r="G9" s="26"/>
      <c r="H9" s="26"/>
      <c r="I9" s="26"/>
      <c r="J9" s="19" t="str">
        <f aca="false">IF(B9="","",COUNTIF(D9:I9,"*J*"))</f>
        <v/>
      </c>
      <c r="K9" s="20" t="str">
        <f aca="false">IF(B9="","",IF(J9=1,"Rendben",IF(J9=0,"Nincs jóváhagyó!","Több jóváhagyó!")))</f>
        <v/>
      </c>
    </row>
    <row r="10" customFormat="false" ht="15" hidden="false" customHeight="false" outlineLevel="0" collapsed="false">
      <c r="B10" s="25"/>
      <c r="C10" s="25"/>
      <c r="D10" s="26"/>
      <c r="E10" s="26"/>
      <c r="F10" s="26"/>
      <c r="G10" s="26"/>
      <c r="H10" s="26"/>
      <c r="I10" s="26"/>
      <c r="J10" s="19" t="str">
        <f aca="false">IF(B10="","",COUNTIF(D10:I10,"*J*"))</f>
        <v/>
      </c>
      <c r="K10" s="20" t="str">
        <f aca="false">IF(B10="","",IF(J10=1,"Rendben",IF(J10=0,"Nincs jóváhagyó!","Több jóváhagyó!")))</f>
        <v/>
      </c>
    </row>
    <row r="11" customFormat="false" ht="15" hidden="false" customHeight="false" outlineLevel="0" collapsed="false">
      <c r="B11" s="25"/>
      <c r="C11" s="25"/>
      <c r="D11" s="26"/>
      <c r="E11" s="26"/>
      <c r="F11" s="26"/>
      <c r="G11" s="26"/>
      <c r="H11" s="26"/>
      <c r="I11" s="26"/>
      <c r="J11" s="19" t="str">
        <f aca="false">IF(B11="","",COUNTIF(D11:I11,"*J*"))</f>
        <v/>
      </c>
      <c r="K11" s="20" t="str">
        <f aca="false">IF(B11="","",IF(J11=1,"Rendben",IF(J11=0,"Nincs jóváhagyó!","Több jóváhagyó!")))</f>
        <v/>
      </c>
    </row>
    <row r="12" customFormat="false" ht="15" hidden="false" customHeight="false" outlineLevel="0" collapsed="false">
      <c r="B12" s="25"/>
      <c r="C12" s="25"/>
      <c r="D12" s="26"/>
      <c r="E12" s="26"/>
      <c r="F12" s="26"/>
      <c r="G12" s="26"/>
      <c r="H12" s="26"/>
      <c r="I12" s="26"/>
      <c r="J12" s="19" t="str">
        <f aca="false">IF(B12="","",COUNTIF(D12:I12,"*J*"))</f>
        <v/>
      </c>
      <c r="K12" s="20" t="str">
        <f aca="false">IF(B12="","",IF(J12=1,"Rendben",IF(J12=0,"Nincs jóváhagyó!","Több jóváhagyó!")))</f>
        <v/>
      </c>
    </row>
    <row r="13" customFormat="false" ht="15" hidden="false" customHeight="false" outlineLevel="0" collapsed="false">
      <c r="B13" s="25"/>
      <c r="C13" s="25"/>
      <c r="D13" s="26"/>
      <c r="E13" s="26"/>
      <c r="F13" s="26"/>
      <c r="G13" s="26"/>
      <c r="H13" s="26"/>
      <c r="I13" s="26"/>
      <c r="J13" s="19" t="str">
        <f aca="false">IF(B13="","",COUNTIF(D13:I13,"*J*"))</f>
        <v/>
      </c>
      <c r="K13" s="20" t="str">
        <f aca="false">IF(B13="","",IF(J13=1,"Rendben",IF(J13=0,"Nincs jóváhagyó!","Több jóváhagyó!")))</f>
        <v/>
      </c>
    </row>
    <row r="14" customFormat="false" ht="15" hidden="false" customHeight="false" outlineLevel="0" collapsed="false">
      <c r="B14" s="25"/>
      <c r="C14" s="25"/>
      <c r="D14" s="26"/>
      <c r="E14" s="26"/>
      <c r="F14" s="26"/>
      <c r="G14" s="26"/>
      <c r="H14" s="26"/>
      <c r="I14" s="26"/>
      <c r="J14" s="19" t="str">
        <f aca="false">IF(B14="","",COUNTIF(D14:I14,"*J*"))</f>
        <v/>
      </c>
      <c r="K14" s="20" t="str">
        <f aca="false">IF(B14="","",IF(J14=1,"Rendben",IF(J14=0,"Nincs jóváhagyó!","Több jóváhagyó!")))</f>
        <v/>
      </c>
    </row>
    <row r="15" customFormat="false" ht="15" hidden="false" customHeight="false" outlineLevel="0" collapsed="false">
      <c r="B15" s="25"/>
      <c r="C15" s="25"/>
      <c r="D15" s="26"/>
      <c r="E15" s="26"/>
      <c r="F15" s="26"/>
      <c r="G15" s="26"/>
      <c r="H15" s="26"/>
      <c r="I15" s="26"/>
      <c r="J15" s="19" t="str">
        <f aca="false">IF(B15="","",COUNTIF(D15:I15,"*J*"))</f>
        <v/>
      </c>
      <c r="K15" s="20" t="str">
        <f aca="false">IF(B15="","",IF(J15=1,"Rendben",IF(J15=0,"Nincs jóváhagyó!","Több jóváhagyó!")))</f>
        <v/>
      </c>
    </row>
    <row r="16" customFormat="false" ht="15" hidden="false" customHeight="false" outlineLevel="0" collapsed="false">
      <c r="B16" s="25"/>
      <c r="C16" s="25"/>
      <c r="D16" s="26"/>
      <c r="E16" s="26"/>
      <c r="F16" s="26"/>
      <c r="G16" s="26"/>
      <c r="H16" s="26"/>
      <c r="I16" s="26"/>
      <c r="J16" s="19" t="str">
        <f aca="false">IF(B16="","",COUNTIF(D16:I16,"*J*"))</f>
        <v/>
      </c>
      <c r="K16" s="20" t="str">
        <f aca="false">IF(B16="","",IF(J16=1,"Rendben",IF(J16=0,"Nincs jóváhagyó!","Több jóváhagyó!")))</f>
        <v/>
      </c>
    </row>
    <row r="17" customFormat="false" ht="15" hidden="false" customHeight="false" outlineLevel="0" collapsed="false">
      <c r="B17" s="25"/>
      <c r="C17" s="25"/>
      <c r="D17" s="26"/>
      <c r="E17" s="26"/>
      <c r="F17" s="26"/>
      <c r="G17" s="26"/>
      <c r="H17" s="26"/>
      <c r="I17" s="26"/>
      <c r="J17" s="19" t="str">
        <f aca="false">IF(B17="","",COUNTIF(D17:I17,"*J*"))</f>
        <v/>
      </c>
      <c r="K17" s="20" t="str">
        <f aca="false">IF(B17="","",IF(J17=1,"Rendben",IF(J17=0,"Nincs jóváhagyó!","Több jóváhagyó!")))</f>
        <v/>
      </c>
    </row>
    <row r="18" customFormat="false" ht="15" hidden="false" customHeight="false" outlineLevel="0" collapsed="false">
      <c r="B18" s="25"/>
      <c r="C18" s="25"/>
      <c r="D18" s="26"/>
      <c r="E18" s="26"/>
      <c r="F18" s="26"/>
      <c r="G18" s="26"/>
      <c r="H18" s="26"/>
      <c r="I18" s="26"/>
      <c r="J18" s="19" t="str">
        <f aca="false">IF(B18="","",COUNTIF(D18:I18,"*J*"))</f>
        <v/>
      </c>
      <c r="K18" s="20" t="str">
        <f aca="false">IF(B18="","",IF(J18=1,"Rendben",IF(J18=0,"Nincs jóváhagyó!","Több jóváhagyó!")))</f>
        <v/>
      </c>
    </row>
    <row r="19" customFormat="false" ht="15" hidden="false" customHeight="false" outlineLevel="0" collapsed="false">
      <c r="B19" s="25"/>
      <c r="C19" s="25"/>
      <c r="D19" s="26"/>
      <c r="E19" s="26"/>
      <c r="F19" s="26"/>
      <c r="G19" s="26"/>
      <c r="H19" s="26"/>
      <c r="I19" s="26"/>
      <c r="J19" s="19" t="str">
        <f aca="false">IF(B19="","",COUNTIF(D19:I19,"*J*"))</f>
        <v/>
      </c>
      <c r="K19" s="20" t="str">
        <f aca="false">IF(B19="","",IF(J19=1,"Rendben",IF(J19=0,"Nincs jóváhagyó!","Több jóváhagyó!")))</f>
        <v/>
      </c>
    </row>
    <row r="20" customFormat="false" ht="15" hidden="false" customHeight="false" outlineLevel="0" collapsed="false">
      <c r="B20" s="25"/>
      <c r="C20" s="25"/>
      <c r="D20" s="26"/>
      <c r="E20" s="26"/>
      <c r="F20" s="26"/>
      <c r="G20" s="26"/>
      <c r="H20" s="26"/>
      <c r="I20" s="26"/>
      <c r="J20" s="19" t="str">
        <f aca="false">IF(B20="","",COUNTIF(D20:I20,"*J*"))</f>
        <v/>
      </c>
      <c r="K20" s="20" t="str">
        <f aca="false">IF(B20="","",IF(J20=1,"Rendben",IF(J20=0,"Nincs jóváhagyó!","Több jóváhagyó!")))</f>
        <v/>
      </c>
    </row>
    <row r="21" customFormat="false" ht="15" hidden="false" customHeight="false" outlineLevel="0" collapsed="false">
      <c r="B21" s="25"/>
      <c r="C21" s="25"/>
      <c r="D21" s="26"/>
      <c r="E21" s="26"/>
      <c r="F21" s="26"/>
      <c r="G21" s="26"/>
      <c r="H21" s="26"/>
      <c r="I21" s="26"/>
      <c r="J21" s="19" t="str">
        <f aca="false">IF(B21="","",COUNTIF(D21:I21,"*J*"))</f>
        <v/>
      </c>
      <c r="K21" s="20" t="str">
        <f aca="false">IF(B21="","",IF(J21=1,"Rendben",IF(J21=0,"Nincs jóváhagyó!","Több jóváhagyó!")))</f>
        <v/>
      </c>
    </row>
    <row r="22" customFormat="false" ht="15" hidden="false" customHeight="false" outlineLevel="0" collapsed="false">
      <c r="B22" s="25"/>
      <c r="C22" s="25"/>
      <c r="D22" s="26"/>
      <c r="E22" s="26"/>
      <c r="F22" s="26"/>
      <c r="G22" s="26"/>
      <c r="H22" s="26"/>
      <c r="I22" s="26"/>
      <c r="J22" s="19" t="str">
        <f aca="false">IF(B22="","",COUNTIF(D22:I22,"*J*"))</f>
        <v/>
      </c>
      <c r="K22" s="20" t="str">
        <f aca="false">IF(B22="","",IF(J22=1,"Rendben",IF(J22=0,"Nincs jóváhagyó!","Több jóváhagyó!")))</f>
        <v/>
      </c>
    </row>
    <row r="23" customFormat="false" ht="15" hidden="false" customHeight="false" outlineLevel="0" collapsed="false">
      <c r="B23" s="25"/>
      <c r="C23" s="25"/>
      <c r="D23" s="26"/>
      <c r="E23" s="26"/>
      <c r="F23" s="26"/>
      <c r="G23" s="26"/>
      <c r="H23" s="26"/>
      <c r="I23" s="26"/>
      <c r="J23" s="19" t="str">
        <f aca="false">IF(B23="","",COUNTIF(D23:I23,"*J*"))</f>
        <v/>
      </c>
      <c r="K23" s="20" t="str">
        <f aca="false">IF(B23="","",IF(J23=1,"Rendben",IF(J23=0,"Nincs jóváhagyó!","Több jóváhagyó!")))</f>
        <v/>
      </c>
    </row>
    <row r="24" customFormat="false" ht="15" hidden="false" customHeight="false" outlineLevel="0" collapsed="false">
      <c r="B24" s="25"/>
      <c r="C24" s="25"/>
      <c r="D24" s="26"/>
      <c r="E24" s="26"/>
      <c r="F24" s="26"/>
      <c r="G24" s="26"/>
      <c r="H24" s="26"/>
      <c r="I24" s="26"/>
      <c r="J24" s="19" t="str">
        <f aca="false">IF(B24="","",COUNTIF(D24:I24,"*J*"))</f>
        <v/>
      </c>
      <c r="K24" s="20" t="str">
        <f aca="false">IF(B24="","",IF(J24=1,"Rendben",IF(J24=0,"Nincs jóváhagyó!","Több jóváhagyó!")))</f>
        <v/>
      </c>
    </row>
    <row r="25" customFormat="false" ht="15" hidden="false" customHeight="false" outlineLevel="0" collapsed="false">
      <c r="B25" s="25"/>
      <c r="C25" s="25"/>
      <c r="D25" s="26"/>
      <c r="E25" s="26"/>
      <c r="F25" s="26"/>
      <c r="G25" s="26"/>
      <c r="H25" s="26"/>
      <c r="I25" s="26"/>
      <c r="J25" s="19" t="str">
        <f aca="false">IF(B25="","",COUNTIF(D25:I25,"*J*"))</f>
        <v/>
      </c>
      <c r="K25" s="20" t="str">
        <f aca="false">IF(B25="","",IF(J25=1,"Rendben",IF(J25=0,"Nincs jóváhagyó!","Több jóváhagyó!")))</f>
        <v/>
      </c>
    </row>
    <row r="26" customFormat="false" ht="15" hidden="false" customHeight="false" outlineLevel="0" collapsed="false">
      <c r="B26" s="25"/>
      <c r="C26" s="25"/>
      <c r="D26" s="26"/>
      <c r="E26" s="26"/>
      <c r="F26" s="26"/>
      <c r="G26" s="26"/>
      <c r="H26" s="26"/>
      <c r="I26" s="26"/>
      <c r="J26" s="19" t="str">
        <f aca="false">IF(B26="","",COUNTIF(D26:I26,"*J*"))</f>
        <v/>
      </c>
      <c r="K26" s="20" t="str">
        <f aca="false">IF(B26="","",IF(J26=1,"Rendben",IF(J26=0,"Nincs jóváhagyó!","Több jóváhagyó!")))</f>
        <v/>
      </c>
    </row>
    <row r="27" customFormat="false" ht="15" hidden="false" customHeight="false" outlineLevel="0" collapsed="false">
      <c r="B27" s="25"/>
      <c r="C27" s="25"/>
      <c r="D27" s="26"/>
      <c r="E27" s="26"/>
      <c r="F27" s="26"/>
      <c r="G27" s="26"/>
      <c r="H27" s="26"/>
      <c r="I27" s="26"/>
      <c r="J27" s="19" t="str">
        <f aca="false">IF(B27="","",COUNTIF(D27:I27,"*J*"))</f>
        <v/>
      </c>
      <c r="K27" s="20" t="str">
        <f aca="false">IF(B27="","",IF(J27=1,"Rendben",IF(J27=0,"Nincs jóváhagyó!","Több jóváhagyó!")))</f>
        <v/>
      </c>
    </row>
    <row r="28" customFormat="false" ht="15" hidden="false" customHeight="false" outlineLevel="0" collapsed="false">
      <c r="B28" s="25"/>
      <c r="C28" s="25"/>
      <c r="D28" s="26"/>
      <c r="E28" s="26"/>
      <c r="F28" s="26"/>
      <c r="G28" s="26"/>
      <c r="H28" s="26"/>
      <c r="I28" s="26"/>
      <c r="J28" s="19" t="str">
        <f aca="false">IF(B28="","",COUNTIF(D28:I28,"*J*"))</f>
        <v/>
      </c>
      <c r="K28" s="20" t="str">
        <f aca="false">IF(B28="","",IF(J28=1,"Rendben",IF(J28=0,"Nincs jóváhagyó!","Több jóváhagyó!")))</f>
        <v/>
      </c>
    </row>
    <row r="29" customFormat="false" ht="15" hidden="false" customHeight="false" outlineLevel="0" collapsed="false">
      <c r="B29" s="25"/>
      <c r="C29" s="25"/>
      <c r="D29" s="26"/>
      <c r="E29" s="26"/>
      <c r="F29" s="26"/>
      <c r="G29" s="26"/>
      <c r="H29" s="26"/>
      <c r="I29" s="26"/>
      <c r="J29" s="19" t="str">
        <f aca="false">IF(B29="","",COUNTIF(D29:I29,"*J*"))</f>
        <v/>
      </c>
      <c r="K29" s="20" t="str">
        <f aca="false">IF(B29="","",IF(J29=1,"Rendben",IF(J29=0,"Nincs jóváhagyó!","Több jóváhagyó!")))</f>
        <v/>
      </c>
    </row>
    <row r="30" customFormat="false" ht="15" hidden="false" customHeight="false" outlineLevel="0" collapsed="false">
      <c r="B30" s="25"/>
      <c r="C30" s="25"/>
      <c r="D30" s="26"/>
      <c r="E30" s="26"/>
      <c r="F30" s="26"/>
      <c r="G30" s="26"/>
      <c r="H30" s="26"/>
      <c r="I30" s="26"/>
      <c r="J30" s="19" t="str">
        <f aca="false">IF(B30="","",COUNTIF(D30:I30,"*J*"))</f>
        <v/>
      </c>
      <c r="K30" s="20" t="str">
        <f aca="false">IF(B30="","",IF(J30=1,"Rendben",IF(J30=0,"Nincs jóváhagyó!","Több jóváhagyó!")))</f>
        <v/>
      </c>
    </row>
    <row r="31" customFormat="false" ht="15" hidden="false" customHeight="false" outlineLevel="0" collapsed="false">
      <c r="B31" s="25"/>
      <c r="C31" s="25"/>
      <c r="D31" s="26"/>
      <c r="E31" s="26"/>
      <c r="F31" s="26"/>
      <c r="G31" s="26"/>
      <c r="H31" s="26"/>
      <c r="I31" s="26"/>
      <c r="J31" s="19" t="str">
        <f aca="false">IF(B31="","",COUNTIF(D31:I31,"*J*"))</f>
        <v/>
      </c>
      <c r="K31" s="20" t="str">
        <f aca="false">IF(B31="","",IF(J31=1,"Rendben",IF(J31=0,"Nincs jóváhagyó!","Több jóváhagyó!")))</f>
        <v/>
      </c>
    </row>
    <row r="32" customFormat="false" ht="15" hidden="false" customHeight="false" outlineLevel="0" collapsed="false">
      <c r="B32" s="25"/>
      <c r="C32" s="25"/>
      <c r="D32" s="26"/>
      <c r="E32" s="26"/>
      <c r="F32" s="26"/>
      <c r="G32" s="26"/>
      <c r="H32" s="26"/>
      <c r="I32" s="26"/>
      <c r="J32" s="19" t="str">
        <f aca="false">IF(B32="","",COUNTIF(D32:I32,"*J*"))</f>
        <v/>
      </c>
      <c r="K32" s="20" t="str">
        <f aca="false">IF(B32="","",IF(J32=1,"Rendben",IF(J32=0,"Nincs jóváhagyó!","Több jóváhagyó!")))</f>
        <v/>
      </c>
    </row>
    <row r="33" customFormat="false" ht="15" hidden="false" customHeight="false" outlineLevel="0" collapsed="false">
      <c r="B33" s="25"/>
      <c r="C33" s="25"/>
      <c r="D33" s="26"/>
      <c r="E33" s="26"/>
      <c r="F33" s="26"/>
      <c r="G33" s="26"/>
      <c r="H33" s="26"/>
      <c r="I33" s="26"/>
      <c r="J33" s="19" t="str">
        <f aca="false">IF(B33="","",COUNTIF(D33:I33,"*J*"))</f>
        <v/>
      </c>
      <c r="K33" s="20" t="str">
        <f aca="false">IF(B33="","",IF(J33=1,"Rendben",IF(J33=0,"Nincs jóváhagyó!","Több jóváhagyó!")))</f>
        <v/>
      </c>
    </row>
    <row r="34" customFormat="false" ht="15" hidden="false" customHeight="false" outlineLevel="0" collapsed="false">
      <c r="B34" s="25"/>
      <c r="C34" s="25"/>
      <c r="D34" s="26"/>
      <c r="E34" s="26"/>
      <c r="F34" s="26"/>
      <c r="G34" s="26"/>
      <c r="H34" s="26"/>
      <c r="I34" s="26"/>
      <c r="J34" s="19" t="str">
        <f aca="false">IF(B34="","",COUNTIF(D34:I34,"*J*"))</f>
        <v/>
      </c>
      <c r="K34" s="20" t="str">
        <f aca="false">IF(B34="","",IF(J34=1,"Rendben",IF(J34=0,"Nincs jóváhagyó!","Több jóváhagyó!")))</f>
        <v/>
      </c>
    </row>
    <row r="35" customFormat="false" ht="15" hidden="false" customHeight="false" outlineLevel="0" collapsed="false">
      <c r="B35" s="25"/>
      <c r="C35" s="25"/>
      <c r="D35" s="26"/>
      <c r="E35" s="26"/>
      <c r="F35" s="26"/>
      <c r="G35" s="26"/>
      <c r="H35" s="26"/>
      <c r="I35" s="26"/>
      <c r="J35" s="19" t="str">
        <f aca="false">IF(B35="","",COUNTIF(D35:I35,"*J*"))</f>
        <v/>
      </c>
      <c r="K35" s="20" t="str">
        <f aca="false">IF(B35="","",IF(J35=1,"Rendben",IF(J35=0,"Nincs jóváhagyó!","Több jóváhagyó!")))</f>
        <v/>
      </c>
    </row>
    <row r="37" customFormat="false" ht="15" hidden="false" customHeight="false" outlineLevel="0" collapsed="false">
      <c r="B37" s="21" t="s">
        <v>86</v>
      </c>
      <c r="D37" s="22" t="n">
        <f aca="false">COUNTIF(D6:D35,"*J*")</f>
        <v>0</v>
      </c>
      <c r="E37" s="22" t="n">
        <f aca="false">COUNTIF(E6:E35,"*J*")</f>
        <v>0</v>
      </c>
      <c r="F37" s="22" t="n">
        <f aca="false">COUNTIF(F6:F35,"*J*")</f>
        <v>0</v>
      </c>
      <c r="G37" s="22" t="n">
        <f aca="false">COUNTIF(G6:G35,"*J*")</f>
        <v>0</v>
      </c>
      <c r="H37" s="22" t="n">
        <f aca="false">COUNTIF(H6:H35,"*J*")</f>
        <v>0</v>
      </c>
      <c r="I37" s="22" t="n">
        <f aca="false">COUNTIF(I6:I35,"*J*")</f>
        <v>0</v>
      </c>
    </row>
    <row r="38" customFormat="false" ht="15" hidden="false" customHeight="false" outlineLevel="0" collapsed="false">
      <c r="B38" s="21" t="s">
        <v>87</v>
      </c>
      <c r="D38" s="23" t="n">
        <f aca="false">COUNTIF(D6:D35,"*V*")</f>
        <v>0</v>
      </c>
      <c r="E38" s="23" t="n">
        <f aca="false">COUNTIF(E6:E35,"*V*")</f>
        <v>0</v>
      </c>
      <c r="F38" s="23" t="n">
        <f aca="false">COUNTIF(F6:F35,"*V*")</f>
        <v>0</v>
      </c>
      <c r="G38" s="23" t="n">
        <f aca="false">COUNTIF(G6:G35,"*V*")</f>
        <v>0</v>
      </c>
      <c r="H38" s="23" t="n">
        <f aca="false">COUNTIF(H6:H35,"*V*")</f>
        <v>0</v>
      </c>
      <c r="I38" s="23" t="n">
        <f aca="false">COUNTIF(I6:I35,"*V*")</f>
        <v>0</v>
      </c>
    </row>
    <row r="40" customFormat="false" ht="15" hidden="false" customHeight="false" outlineLevel="0" collapsed="false">
      <c r="B40" s="5" t="s">
        <v>88</v>
      </c>
    </row>
  </sheetData>
  <conditionalFormatting sqref="K6:K35">
    <cfRule type="expression" priority="2" aboveAverage="0" equalAverage="0" bottom="0" percent="0" rank="0" text="" dxfId="0">
      <formula>AND($K6&lt;&gt;"",$K6&lt;&gt;"Rendben")</formula>
    </cfRule>
    <cfRule type="expression" priority="3" aboveAverage="0" equalAverage="0" bottom="0" percent="0" rank="0" text="" dxfId="1">
      <formula>$K6="Rendben"</formula>
    </cfRule>
  </conditionalFormatting>
  <conditionalFormatting sqref="D6:I35">
    <cfRule type="expression" priority="4" aboveAverage="0" equalAverage="0" bottom="0" percent="0" rank="0" text="" dxfId="2">
      <formula>ISNUMBER(SEARCH("J",D6))</formula>
    </cfRule>
  </conditionalFormatting>
  <dataValidations count="1">
    <dataValidation allowBlank="true" error="Válassz: V, J, K, T vagy V/J" errorStyle="stop" operator="between" showDropDown="false" showErrorMessage="true" showInputMessage="false" sqref="D6:I35" type="list">
      <formula1>"V,J,K,T,V/J"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2026-10-22T11:38:49Z</dcterms:created>
  <dc:creator>openpyxl</dc:creator>
  <dc:description/>
  <dc:language>en-US</dc:language>
  <cp:lastModifiedBy/>
  <dcterms:modified xsi:type="dcterms:W3CDTF">2026-10-22T11:38:49Z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